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stimuls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<sst xmlns="http://schemas.openxmlformats.org/spreadsheetml/2006/main" count="457" uniqueCount="349">
  <si>
    <t>target_11</t>
  </si>
  <si>
    <t>bodies2</t>
  </si>
  <si>
    <t>clothes2</t>
  </si>
  <si>
    <t>furniture2</t>
  </si>
  <si>
    <t>garden2</t>
  </si>
  <si>
    <t>electro2</t>
  </si>
  <si>
    <t>pensils2</t>
  </si>
  <si>
    <t>toys2</t>
  </si>
  <si>
    <t>buildmaterials2</t>
  </si>
  <si>
    <t>dishes2</t>
  </si>
  <si>
    <t>music2</t>
  </si>
  <si>
    <t>sport2</t>
  </si>
  <si>
    <t>transport2</t>
  </si>
  <si>
    <t>instruments2</t>
  </si>
  <si>
    <t>distractors2</t>
  </si>
  <si>
    <t>targetword12</t>
  </si>
  <si>
    <t>targetword_series2</t>
  </si>
  <si>
    <t>fruits2</t>
  </si>
  <si>
    <t>animals2</t>
  </si>
  <si>
    <t>лопата</t>
  </si>
  <si>
    <t>рука</t>
  </si>
  <si>
    <t>рубашка</t>
  </si>
  <si>
    <t>стул</t>
  </si>
  <si>
    <t>грабли</t>
  </si>
  <si>
    <t>лампа</t>
  </si>
  <si>
    <t>ручка</t>
  </si>
  <si>
    <t>кубик</t>
  </si>
  <si>
    <t>кирпич</t>
  </si>
  <si>
    <t>чашка</t>
  </si>
  <si>
    <t>скрипка</t>
  </si>
  <si>
    <t>ракетка</t>
  </si>
  <si>
    <t>самолет</t>
  </si>
  <si>
    <t>молоток</t>
  </si>
  <si>
    <t>лев</t>
  </si>
  <si>
    <t>яблоко</t>
  </si>
  <si>
    <t>корова</t>
  </si>
  <si>
    <t>верблюд</t>
  </si>
  <si>
    <t>нога</t>
  </si>
  <si>
    <t>платье</t>
  </si>
  <si>
    <t>диван</t>
  </si>
  <si>
    <t>фен</t>
  </si>
  <si>
    <t>линейка</t>
  </si>
  <si>
    <t>юла</t>
  </si>
  <si>
    <t>бетон</t>
  </si>
  <si>
    <t>тарелка</t>
  </si>
  <si>
    <t>флейта</t>
  </si>
  <si>
    <t>штанга</t>
  </si>
  <si>
    <t>вертолет</t>
  </si>
  <si>
    <t>дрель</t>
  </si>
  <si>
    <t>мышь</t>
  </si>
  <si>
    <t>груша</t>
  </si>
  <si>
    <t>бык</t>
  </si>
  <si>
    <t>монитор</t>
  </si>
  <si>
    <t>плечо</t>
  </si>
  <si>
    <t>куртка</t>
  </si>
  <si>
    <t>шкаф</t>
  </si>
  <si>
    <t>мотыга</t>
  </si>
  <si>
    <t>тостер</t>
  </si>
  <si>
    <t>ластик</t>
  </si>
  <si>
    <t>пазл</t>
  </si>
  <si>
    <t>цемент</t>
  </si>
  <si>
    <t>кружка</t>
  </si>
  <si>
    <t>арфа</t>
  </si>
  <si>
    <t>коньки</t>
  </si>
  <si>
    <t>автобус</t>
  </si>
  <si>
    <t>отвертка</t>
  </si>
  <si>
    <t>медведь</t>
  </si>
  <si>
    <t>слива</t>
  </si>
  <si>
    <t>свинья</t>
  </si>
  <si>
    <t>ножовка</t>
  </si>
  <si>
    <t>лицо</t>
  </si>
  <si>
    <t>брюки</t>
  </si>
  <si>
    <t>полка</t>
  </si>
  <si>
    <t>секатор</t>
  </si>
  <si>
    <t>чайник</t>
  </si>
  <si>
    <t>степлер</t>
  </si>
  <si>
    <t>робот</t>
  </si>
  <si>
    <t>доска</t>
  </si>
  <si>
    <t>блюдце</t>
  </si>
  <si>
    <t>свирель</t>
  </si>
  <si>
    <t>клюшка</t>
  </si>
  <si>
    <t>трамвай</t>
  </si>
  <si>
    <t>пила</t>
  </si>
  <si>
    <t>курица</t>
  </si>
  <si>
    <t>персик</t>
  </si>
  <si>
    <t>овца</t>
  </si>
  <si>
    <t>самокат</t>
  </si>
  <si>
    <t>шея</t>
  </si>
  <si>
    <t>свитер</t>
  </si>
  <si>
    <t>лавка</t>
  </si>
  <si>
    <t>тяпка</t>
  </si>
  <si>
    <t>утюг</t>
  </si>
  <si>
    <t>тетрадь</t>
  </si>
  <si>
    <t>машинка</t>
  </si>
  <si>
    <t>арматура</t>
  </si>
  <si>
    <t>миска</t>
  </si>
  <si>
    <t>труба</t>
  </si>
  <si>
    <t>мячик</t>
  </si>
  <si>
    <t>поезд</t>
  </si>
  <si>
    <t>рубанок</t>
  </si>
  <si>
    <t>абрикос</t>
  </si>
  <si>
    <t>коза</t>
  </si>
  <si>
    <t>долото</t>
  </si>
  <si>
    <t>локоть</t>
  </si>
  <si>
    <t>жилет</t>
  </si>
  <si>
    <t>кресло</t>
  </si>
  <si>
    <t>вилы</t>
  </si>
  <si>
    <t>плита</t>
  </si>
  <si>
    <t>папка</t>
  </si>
  <si>
    <t>мяч</t>
  </si>
  <si>
    <t>кувшин</t>
  </si>
  <si>
    <t>гитара</t>
  </si>
  <si>
    <t>диск</t>
  </si>
  <si>
    <t>метро</t>
  </si>
  <si>
    <t>ключ</t>
  </si>
  <si>
    <t>лимон</t>
  </si>
  <si>
    <t>гусь</t>
  </si>
  <si>
    <t>кровать</t>
  </si>
  <si>
    <t>палец</t>
  </si>
  <si>
    <t>майка</t>
  </si>
  <si>
    <t>комод</t>
  </si>
  <si>
    <t>серп</t>
  </si>
  <si>
    <t>миксер</t>
  </si>
  <si>
    <t>бумага</t>
  </si>
  <si>
    <t>кран</t>
  </si>
  <si>
    <t>камень</t>
  </si>
  <si>
    <t>ваза</t>
  </si>
  <si>
    <t>пианино</t>
  </si>
  <si>
    <t>шлем</t>
  </si>
  <si>
    <t>мотоцикл</t>
  </si>
  <si>
    <t>клещи</t>
  </si>
  <si>
    <t>заяц</t>
  </si>
  <si>
    <t>лайм</t>
  </si>
  <si>
    <t>осел</t>
  </si>
  <si>
    <t>губа</t>
  </si>
  <si>
    <t>перчатка</t>
  </si>
  <si>
    <t>пуфик</t>
  </si>
  <si>
    <t>лейка</t>
  </si>
  <si>
    <t>насос</t>
  </si>
  <si>
    <t>маркер</t>
  </si>
  <si>
    <t>картина</t>
  </si>
  <si>
    <t>песок</t>
  </si>
  <si>
    <t>кастрюля</t>
  </si>
  <si>
    <t>барабан</t>
  </si>
  <si>
    <t>лыжи</t>
  </si>
  <si>
    <t>скутер</t>
  </si>
  <si>
    <t>стамеска</t>
  </si>
  <si>
    <t>крыса</t>
  </si>
  <si>
    <t>манго</t>
  </si>
  <si>
    <t>индюк</t>
  </si>
  <si>
    <t>зубы</t>
  </si>
  <si>
    <t>шапка</t>
  </si>
  <si>
    <t>табурет</t>
  </si>
  <si>
    <t>скребок</t>
  </si>
  <si>
    <t>колонка</t>
  </si>
  <si>
    <t>ножницы</t>
  </si>
  <si>
    <t>домино</t>
  </si>
  <si>
    <t>гранит</t>
  </si>
  <si>
    <t>ковш</t>
  </si>
  <si>
    <t>баян</t>
  </si>
  <si>
    <t>меч</t>
  </si>
  <si>
    <t>такси</t>
  </si>
  <si>
    <t>рулетка</t>
  </si>
  <si>
    <t>петух</t>
  </si>
  <si>
    <t>финик</t>
  </si>
  <si>
    <t>шланг</t>
  </si>
  <si>
    <t>колено</t>
  </si>
  <si>
    <t>шарф</t>
  </si>
  <si>
    <t>стенка</t>
  </si>
  <si>
    <t>батарея</t>
  </si>
  <si>
    <t>скрепка</t>
  </si>
  <si>
    <t>кукла</t>
  </si>
  <si>
    <t>щебень</t>
  </si>
  <si>
    <t>графин</t>
  </si>
  <si>
    <t>гантель</t>
  </si>
  <si>
    <t>грузовик</t>
  </si>
  <si>
    <t>кувалда</t>
  </si>
  <si>
    <t>тигр</t>
  </si>
  <si>
    <t>вишня</t>
  </si>
  <si>
    <t>баран</t>
  </si>
  <si>
    <t>пятка</t>
  </si>
  <si>
    <t>кофта</t>
  </si>
  <si>
    <t>столик</t>
  </si>
  <si>
    <t>проектор</t>
  </si>
  <si>
    <t>чернила</t>
  </si>
  <si>
    <t>гипс</t>
  </si>
  <si>
    <t>нож</t>
  </si>
  <si>
    <t>сетка</t>
  </si>
  <si>
    <t>фура</t>
  </si>
  <si>
    <t>шило</t>
  </si>
  <si>
    <t>киви</t>
  </si>
  <si>
    <t>утенок</t>
  </si>
  <si>
    <t>ступня</t>
  </si>
  <si>
    <t>жилетка</t>
  </si>
  <si>
    <t>стол</t>
  </si>
  <si>
    <t>тачка</t>
  </si>
  <si>
    <t>пылесос</t>
  </si>
  <si>
    <t>бумажник</t>
  </si>
  <si>
    <t>бревно</t>
  </si>
  <si>
    <t>вилка</t>
  </si>
  <si>
    <t>бита</t>
  </si>
  <si>
    <t>колесо</t>
  </si>
  <si>
    <t>белка</t>
  </si>
  <si>
    <t>дыня</t>
  </si>
  <si>
    <t>жеребец</t>
  </si>
  <si>
    <t>затылок</t>
  </si>
  <si>
    <t>плащ</t>
  </si>
  <si>
    <t>совок</t>
  </si>
  <si>
    <t>телефон</t>
  </si>
  <si>
    <t>чертеж</t>
  </si>
  <si>
    <t>гвоздь</t>
  </si>
  <si>
    <t>терка</t>
  </si>
  <si>
    <t>рюкзак</t>
  </si>
  <si>
    <t>шоссе</t>
  </si>
  <si>
    <t>кусачки</t>
  </si>
  <si>
    <t>арбуз</t>
  </si>
  <si>
    <t>волк</t>
  </si>
  <si>
    <t>ребро</t>
  </si>
  <si>
    <t>мантия</t>
  </si>
  <si>
    <t>скамья</t>
  </si>
  <si>
    <t>коса</t>
  </si>
  <si>
    <t>ноутбук</t>
  </si>
  <si>
    <t>карандаш</t>
  </si>
  <si>
    <t>саморез</t>
  </si>
  <si>
    <t>ковшик</t>
  </si>
  <si>
    <t>вокзал</t>
  </si>
  <si>
    <t>кирка</t>
  </si>
  <si>
    <t>морковь</t>
  </si>
  <si>
    <t>лиса</t>
  </si>
  <si>
    <t>челюсть</t>
  </si>
  <si>
    <t>шуба</t>
  </si>
  <si>
    <t>буфет</t>
  </si>
  <si>
    <t>ведро</t>
  </si>
  <si>
    <t>наушники</t>
  </si>
  <si>
    <t>блокнот</t>
  </si>
  <si>
    <t>шуруп</t>
  </si>
  <si>
    <t>половник</t>
  </si>
  <si>
    <t>аэропорт</t>
  </si>
  <si>
    <t>топор</t>
  </si>
  <si>
    <t>капуста</t>
  </si>
  <si>
    <t>язык</t>
  </si>
  <si>
    <t>кушетка</t>
  </si>
  <si>
    <t>планшет</t>
  </si>
  <si>
    <t>дырокол</t>
  </si>
  <si>
    <t>краска</t>
  </si>
  <si>
    <t>сито</t>
  </si>
  <si>
    <t>машина</t>
  </si>
  <si>
    <t>шакал</t>
  </si>
  <si>
    <t>редис</t>
  </si>
  <si>
    <t>ухо</t>
  </si>
  <si>
    <t>вешалка</t>
  </si>
  <si>
    <t>файл</t>
  </si>
  <si>
    <t>стекло</t>
  </si>
  <si>
    <t>ложка</t>
  </si>
  <si>
    <t>свекла</t>
  </si>
  <si>
    <t>кабан</t>
  </si>
  <si>
    <t>нос</t>
  </si>
  <si>
    <t>стеллаж</t>
  </si>
  <si>
    <t>конверт</t>
  </si>
  <si>
    <t>обои</t>
  </si>
  <si>
    <t>джип</t>
  </si>
  <si>
    <t>лук</t>
  </si>
  <si>
    <t>лось</t>
  </si>
  <si>
    <t>глаз</t>
  </si>
  <si>
    <t>клей</t>
  </si>
  <si>
    <t>ламинат</t>
  </si>
  <si>
    <t>дуршлаг</t>
  </si>
  <si>
    <t>мотор</t>
  </si>
  <si>
    <t>горох</t>
  </si>
  <si>
    <t>олень</t>
  </si>
  <si>
    <t>кожа</t>
  </si>
  <si>
    <t>циркуль</t>
  </si>
  <si>
    <t>скалка</t>
  </si>
  <si>
    <t>кабачок</t>
  </si>
  <si>
    <t>бобр</t>
  </si>
  <si>
    <t>репа</t>
  </si>
  <si>
    <t>редька</t>
  </si>
  <si>
    <t>рысь</t>
  </si>
  <si>
    <t>перец</t>
  </si>
  <si>
    <t>барсук</t>
  </si>
  <si>
    <t>батат</t>
  </si>
  <si>
    <t>слон</t>
  </si>
  <si>
    <t>помидор</t>
  </si>
  <si>
    <t>огурец</t>
  </si>
  <si>
    <t>тыква</t>
  </si>
  <si>
    <t>обезьяна</t>
  </si>
  <si>
    <t>чеснок</t>
  </si>
  <si>
    <t>кенгуру</t>
  </si>
  <si>
    <t>петрушка</t>
  </si>
  <si>
    <t>собака</t>
  </si>
  <si>
    <t>укроп</t>
  </si>
  <si>
    <t>кошка</t>
  </si>
  <si>
    <t>салат</t>
  </si>
  <si>
    <t>лошадь</t>
  </si>
  <si>
    <t>щавель</t>
  </si>
  <si>
    <t>шпинат</t>
  </si>
  <si>
    <t>кролик</t>
  </si>
  <si>
    <t>баклажан</t>
  </si>
  <si>
    <t>спаржа</t>
  </si>
  <si>
    <t>носорог</t>
  </si>
  <si>
    <t>брокколи</t>
  </si>
  <si>
    <t>жираф</t>
  </si>
  <si>
    <t>кукуруза</t>
  </si>
  <si>
    <t>леопард</t>
  </si>
  <si>
    <t>фасоль</t>
  </si>
  <si>
    <t>пантера</t>
  </si>
  <si>
    <t>имбирь</t>
  </si>
  <si>
    <t>гепард</t>
  </si>
  <si>
    <t>авокадо</t>
  </si>
  <si>
    <t>зебра</t>
  </si>
  <si>
    <t>оливки</t>
  </si>
  <si>
    <t>бегемот</t>
  </si>
  <si>
    <t>томат</t>
  </si>
  <si>
    <t>куница</t>
  </si>
  <si>
    <t>апельсин</t>
  </si>
  <si>
    <t>соболь</t>
  </si>
  <si>
    <t>мандарин</t>
  </si>
  <si>
    <t>норка</t>
  </si>
  <si>
    <t>банан</t>
  </si>
  <si>
    <t>выдра</t>
  </si>
  <si>
    <t>ананас</t>
  </si>
  <si>
    <t>росомаха</t>
  </si>
  <si>
    <t>черешня</t>
  </si>
  <si>
    <t>хорек</t>
  </si>
  <si>
    <t>виноград</t>
  </si>
  <si>
    <t>дикобраз</t>
  </si>
  <si>
    <t>гранат</t>
  </si>
  <si>
    <t>суслик</t>
  </si>
  <si>
    <t>инжир</t>
  </si>
  <si>
    <t>клубника</t>
  </si>
  <si>
    <t>гиена</t>
  </si>
  <si>
    <t>малина</t>
  </si>
  <si>
    <t>скунс</t>
  </si>
  <si>
    <t>черника</t>
  </si>
  <si>
    <t>енот</t>
  </si>
  <si>
    <t>голубика</t>
  </si>
  <si>
    <t>коала</t>
  </si>
  <si>
    <t>брусника</t>
  </si>
  <si>
    <t>панда</t>
  </si>
  <si>
    <t>клюква</t>
  </si>
  <si>
    <t>косуля</t>
  </si>
  <si>
    <t>облепиха</t>
  </si>
  <si>
    <t>горилла</t>
  </si>
  <si>
    <t>шимпанзе</t>
  </si>
  <si>
    <t>макака</t>
  </si>
  <si>
    <t>капибара</t>
  </si>
  <si>
    <t>хомяк</t>
  </si>
  <si>
    <t>щенок</t>
  </si>
  <si>
    <t>котенок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</si>
</sst>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2"/>
      <c r="U1" s="1" t="s">
        <v>18</v>
      </c>
      <c r="V1" s="2"/>
      <c r="W1" s="2"/>
    </row>
    <row r="2">
      <c r="A2" s="3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4" t="str">
        <f>IF(ISERROR(SEARCH("о",U2)),"",U2)</f>
        <v>корова</v>
      </c>
      <c r="Q2" s="4" t="str">
        <f>IF(ISERROR(SEARCH("а",S6)),"",S6)</f>
        <v>абрикос</v>
      </c>
      <c r="S2" s="1" t="s">
        <v>34</v>
      </c>
      <c r="T2" s="2"/>
      <c r="U2" s="1" t="s">
        <v>35</v>
      </c>
      <c r="V2" s="5"/>
      <c r="W2" s="2"/>
    </row>
    <row r="3">
      <c r="A3" s="3" t="s">
        <v>36</v>
      </c>
      <c r="B3" s="1" t="s">
        <v>37</v>
      </c>
      <c r="C3" s="1" t="s">
        <v>38</v>
      </c>
      <c r="D3" s="1" t="s">
        <v>39</v>
      </c>
      <c r="E3" s="1" t="s">
        <v>19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4" t="str">
        <f t="shared" ref="P3:P4" si="1">IF(ISERROR(SEARCH("о",U5)),"",U5)</f>
        <v>овца</v>
      </c>
      <c r="Q3" s="4" t="str">
        <f t="shared" ref="Q3:Q4" si="2">IF(ISERROR(SEARCH("а",S3)),"",S3)</f>
        <v>груша</v>
      </c>
      <c r="S3" s="1" t="s">
        <v>50</v>
      </c>
      <c r="T3" s="2"/>
      <c r="U3" s="1" t="s">
        <v>51</v>
      </c>
      <c r="V3" s="5"/>
      <c r="W3" s="2"/>
    </row>
    <row r="4">
      <c r="A4" s="3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65</v>
      </c>
      <c r="O4" s="1" t="s">
        <v>66</v>
      </c>
      <c r="P4" s="4" t="str">
        <f t="shared" si="1"/>
        <v>коза</v>
      </c>
      <c r="Q4" s="4" t="str">
        <f t="shared" si="2"/>
        <v>слива</v>
      </c>
      <c r="S4" s="1" t="s">
        <v>67</v>
      </c>
      <c r="T4" s="2"/>
      <c r="U4" s="1" t="s">
        <v>68</v>
      </c>
      <c r="V4" s="5"/>
      <c r="W4" s="2"/>
    </row>
    <row r="5">
      <c r="A5" s="3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83</v>
      </c>
      <c r="P5" s="4" t="str">
        <f>IF(ISERROR(SEARCH("о",U8)),"",U8)</f>
        <v>осел</v>
      </c>
      <c r="Q5" s="4" t="str">
        <f t="shared" ref="Q5:Q6" si="3">IF(ISERROR(SEARCH("а",S8)),"",S8)</f>
        <v>лайм</v>
      </c>
      <c r="S5" s="1" t="s">
        <v>84</v>
      </c>
      <c r="T5" s="2"/>
      <c r="U5" s="1" t="s">
        <v>85</v>
      </c>
      <c r="V5" s="5"/>
      <c r="W5" s="2"/>
    </row>
    <row r="6">
      <c r="A6" s="3" t="s">
        <v>86</v>
      </c>
      <c r="B6" s="1" t="s">
        <v>87</v>
      </c>
      <c r="C6" s="1" t="s">
        <v>88</v>
      </c>
      <c r="D6" s="1" t="s">
        <v>89</v>
      </c>
      <c r="E6" s="1" t="s">
        <v>90</v>
      </c>
      <c r="F6" s="1" t="s">
        <v>91</v>
      </c>
      <c r="G6" s="1" t="s">
        <v>92</v>
      </c>
      <c r="H6" s="1" t="s">
        <v>93</v>
      </c>
      <c r="I6" s="1" t="s">
        <v>94</v>
      </c>
      <c r="J6" s="1" t="s">
        <v>95</v>
      </c>
      <c r="K6" s="1" t="s">
        <v>96</v>
      </c>
      <c r="L6" s="1" t="s">
        <v>97</v>
      </c>
      <c r="M6" s="1" t="s">
        <v>98</v>
      </c>
      <c r="N6" s="1" t="s">
        <v>99</v>
      </c>
      <c r="O6" s="1" t="s">
        <v>68</v>
      </c>
      <c r="P6" s="4" t="str">
        <f>IF(ISERROR(SEARCH("о",U12)),"",U12)</f>
        <v>утенок</v>
      </c>
      <c r="Q6" s="4" t="str">
        <f t="shared" si="3"/>
        <v>манго</v>
      </c>
      <c r="S6" s="1" t="s">
        <v>100</v>
      </c>
      <c r="T6" s="2"/>
      <c r="U6" s="1" t="s">
        <v>101</v>
      </c>
      <c r="V6" s="5"/>
      <c r="W6" s="2"/>
    </row>
    <row r="7">
      <c r="A7" s="3" t="s">
        <v>102</v>
      </c>
      <c r="B7" s="1" t="s">
        <v>103</v>
      </c>
      <c r="C7" s="1" t="s">
        <v>104</v>
      </c>
      <c r="D7" s="1" t="s">
        <v>105</v>
      </c>
      <c r="E7" s="1" t="s">
        <v>106</v>
      </c>
      <c r="F7" s="1" t="s">
        <v>107</v>
      </c>
      <c r="G7" s="1" t="s">
        <v>108</v>
      </c>
      <c r="H7" s="1" t="s">
        <v>109</v>
      </c>
      <c r="I7" s="1" t="s">
        <v>107</v>
      </c>
      <c r="J7" s="1" t="s">
        <v>110</v>
      </c>
      <c r="K7" s="1" t="s">
        <v>111</v>
      </c>
      <c r="L7" s="1" t="s">
        <v>112</v>
      </c>
      <c r="M7" s="1" t="s">
        <v>113</v>
      </c>
      <c r="N7" s="1" t="s">
        <v>114</v>
      </c>
      <c r="O7" s="1" t="s">
        <v>51</v>
      </c>
      <c r="P7" s="4" t="str">
        <f>IF(ISERROR(SEARCH("о",U14)),"",U14)</f>
        <v>волк</v>
      </c>
      <c r="Q7" s="4" t="str">
        <f>IF(ISERROR(SEARCH("а",S14)),"",S14)</f>
        <v>арбуз</v>
      </c>
      <c r="S7" s="1" t="s">
        <v>115</v>
      </c>
      <c r="T7" s="2"/>
      <c r="U7" s="1" t="s">
        <v>116</v>
      </c>
      <c r="V7" s="5"/>
      <c r="W7" s="2"/>
    </row>
    <row r="8">
      <c r="A8" s="3" t="s">
        <v>117</v>
      </c>
      <c r="B8" s="1" t="s">
        <v>118</v>
      </c>
      <c r="C8" s="1" t="s">
        <v>119</v>
      </c>
      <c r="D8" s="1" t="s">
        <v>120</v>
      </c>
      <c r="E8" s="1" t="s">
        <v>121</v>
      </c>
      <c r="F8" s="1" t="s">
        <v>122</v>
      </c>
      <c r="G8" s="1" t="s">
        <v>123</v>
      </c>
      <c r="H8" s="1" t="s">
        <v>124</v>
      </c>
      <c r="I8" s="1" t="s">
        <v>125</v>
      </c>
      <c r="J8" s="1" t="s">
        <v>126</v>
      </c>
      <c r="K8" s="1" t="s">
        <v>127</v>
      </c>
      <c r="L8" s="1" t="s">
        <v>128</v>
      </c>
      <c r="M8" s="1" t="s">
        <v>129</v>
      </c>
      <c r="N8" s="1" t="s">
        <v>130</v>
      </c>
      <c r="O8" s="1" t="s">
        <v>131</v>
      </c>
      <c r="P8" s="4" t="str">
        <f t="shared" ref="P8:P10" si="4">IF(ISERROR(SEARCH("о",U19)),"",U19)</f>
        <v>лось</v>
      </c>
      <c r="Q8" s="4" t="str">
        <f>IF(ISERROR(SEARCH("а",S16)),"",S16)</f>
        <v>капуста</v>
      </c>
      <c r="S8" s="1" t="s">
        <v>132</v>
      </c>
      <c r="T8" s="2"/>
      <c r="U8" s="1" t="s">
        <v>133</v>
      </c>
      <c r="V8" s="5"/>
      <c r="W8" s="2"/>
    </row>
    <row r="9">
      <c r="A9" s="3" t="s">
        <v>120</v>
      </c>
      <c r="B9" s="1" t="s">
        <v>134</v>
      </c>
      <c r="C9" s="1" t="s">
        <v>135</v>
      </c>
      <c r="D9" s="1" t="s">
        <v>136</v>
      </c>
      <c r="E9" s="1" t="s">
        <v>137</v>
      </c>
      <c r="F9" s="1" t="s">
        <v>138</v>
      </c>
      <c r="G9" s="1" t="s">
        <v>139</v>
      </c>
      <c r="H9" s="1" t="s">
        <v>140</v>
      </c>
      <c r="I9" s="1" t="s">
        <v>141</v>
      </c>
      <c r="J9" s="1" t="s">
        <v>142</v>
      </c>
      <c r="K9" s="1" t="s">
        <v>143</v>
      </c>
      <c r="L9" s="1" t="s">
        <v>144</v>
      </c>
      <c r="M9" s="1" t="s">
        <v>145</v>
      </c>
      <c r="N9" s="1" t="s">
        <v>146</v>
      </c>
      <c r="O9" s="1" t="s">
        <v>147</v>
      </c>
      <c r="P9" s="4" t="str">
        <f t="shared" si="4"/>
        <v>олень</v>
      </c>
      <c r="Q9" s="4" t="str">
        <f>IF(ISERROR(SEARCH("а",S28)),"",S28)</f>
        <v>тыква</v>
      </c>
      <c r="S9" s="1" t="s">
        <v>148</v>
      </c>
      <c r="T9" s="2"/>
      <c r="U9" s="1" t="s">
        <v>149</v>
      </c>
      <c r="V9" s="5"/>
      <c r="W9" s="2"/>
    </row>
    <row r="10">
      <c r="A10" s="3" t="s">
        <v>129</v>
      </c>
      <c r="B10" s="1" t="s">
        <v>150</v>
      </c>
      <c r="C10" s="1" t="s">
        <v>151</v>
      </c>
      <c r="D10" s="1" t="s">
        <v>152</v>
      </c>
      <c r="E10" s="1" t="s">
        <v>153</v>
      </c>
      <c r="F10" s="1" t="s">
        <v>154</v>
      </c>
      <c r="G10" s="1" t="s">
        <v>155</v>
      </c>
      <c r="H10" s="1" t="s">
        <v>156</v>
      </c>
      <c r="I10" s="1" t="s">
        <v>157</v>
      </c>
      <c r="J10" s="1" t="s">
        <v>158</v>
      </c>
      <c r="K10" s="1" t="s">
        <v>159</v>
      </c>
      <c r="L10" s="1" t="s">
        <v>160</v>
      </c>
      <c r="M10" s="1" t="s">
        <v>161</v>
      </c>
      <c r="N10" s="1" t="s">
        <v>162</v>
      </c>
      <c r="O10" s="1" t="s">
        <v>163</v>
      </c>
      <c r="P10" s="4" t="str">
        <f t="shared" si="4"/>
        <v>бобр</v>
      </c>
      <c r="Q10" s="4" t="str">
        <f>IF(ISERROR(SEARCH("а",S25)),"",S25)</f>
        <v>батат</v>
      </c>
      <c r="S10" s="1" t="s">
        <v>164</v>
      </c>
      <c r="T10" s="2"/>
      <c r="U10" s="1" t="s">
        <v>163</v>
      </c>
      <c r="V10" s="5"/>
      <c r="W10" s="2"/>
    </row>
    <row r="11">
      <c r="A11" s="3" t="s">
        <v>165</v>
      </c>
      <c r="B11" s="1" t="s">
        <v>166</v>
      </c>
      <c r="C11" s="1" t="s">
        <v>167</v>
      </c>
      <c r="D11" s="1" t="s">
        <v>168</v>
      </c>
      <c r="E11" s="1" t="s">
        <v>69</v>
      </c>
      <c r="F11" s="1" t="s">
        <v>169</v>
      </c>
      <c r="G11" s="1" t="s">
        <v>170</v>
      </c>
      <c r="H11" s="1" t="s">
        <v>171</v>
      </c>
      <c r="I11" s="1" t="s">
        <v>172</v>
      </c>
      <c r="J11" s="1" t="s">
        <v>173</v>
      </c>
      <c r="L11" s="1" t="s">
        <v>174</v>
      </c>
      <c r="M11" s="1" t="s">
        <v>175</v>
      </c>
      <c r="N11" s="1" t="s">
        <v>176</v>
      </c>
      <c r="O11" s="1" t="s">
        <v>177</v>
      </c>
      <c r="P11" s="4" t="str">
        <f>IF(ISERROR(SEARCH("о",U25)),"",U25)</f>
        <v>слон</v>
      </c>
      <c r="Q11" s="4" t="str">
        <f>IF(ISERROR(SEARCH("а",S30)),"",S30)</f>
        <v>петрушка</v>
      </c>
      <c r="S11" s="1" t="s">
        <v>178</v>
      </c>
      <c r="T11" s="2"/>
      <c r="U11" s="1" t="s">
        <v>179</v>
      </c>
      <c r="V11" s="5"/>
      <c r="W11" s="2"/>
    </row>
    <row r="12">
      <c r="A12" s="3" t="s">
        <v>127</v>
      </c>
      <c r="B12" s="1" t="s">
        <v>180</v>
      </c>
      <c r="C12" s="1" t="s">
        <v>181</v>
      </c>
      <c r="D12" s="1" t="s">
        <v>182</v>
      </c>
      <c r="E12" s="1" t="s">
        <v>165</v>
      </c>
      <c r="F12" s="1" t="s">
        <v>183</v>
      </c>
      <c r="G12" s="1" t="s">
        <v>184</v>
      </c>
      <c r="I12" s="1" t="s">
        <v>185</v>
      </c>
      <c r="J12" s="1" t="s">
        <v>186</v>
      </c>
      <c r="L12" s="1" t="s">
        <v>187</v>
      </c>
      <c r="M12" s="1" t="s">
        <v>188</v>
      </c>
      <c r="N12" s="1" t="s">
        <v>189</v>
      </c>
      <c r="O12" s="1" t="s">
        <v>116</v>
      </c>
      <c r="P12" s="4" t="str">
        <f>IF(ISERROR(SEARCH("о",U28)),"",U28)</f>
        <v>обезьяна</v>
      </c>
      <c r="Q12" s="4" t="str">
        <f>IF(ISERROR(SEARCH("а",S23)),"",S23)</f>
        <v>редька</v>
      </c>
      <c r="S12" s="1" t="s">
        <v>190</v>
      </c>
      <c r="T12" s="2"/>
      <c r="U12" s="1" t="s">
        <v>191</v>
      </c>
      <c r="V12" s="5"/>
      <c r="W12" s="2"/>
    </row>
    <row r="13">
      <c r="A13" s="3" t="s">
        <v>32</v>
      </c>
      <c r="B13" s="1" t="s">
        <v>192</v>
      </c>
      <c r="C13" s="1" t="s">
        <v>193</v>
      </c>
      <c r="D13" s="1" t="s">
        <v>194</v>
      </c>
      <c r="E13" s="1" t="s">
        <v>195</v>
      </c>
      <c r="F13" s="1" t="s">
        <v>196</v>
      </c>
      <c r="G13" s="1" t="s">
        <v>197</v>
      </c>
      <c r="I13" s="1" t="s">
        <v>198</v>
      </c>
      <c r="J13" s="1" t="s">
        <v>199</v>
      </c>
      <c r="L13" s="1" t="s">
        <v>200</v>
      </c>
      <c r="M13" s="1" t="s">
        <v>201</v>
      </c>
      <c r="N13" s="1" t="s">
        <v>102</v>
      </c>
      <c r="O13" s="1" t="s">
        <v>202</v>
      </c>
      <c r="P13" s="4" t="str">
        <f t="shared" ref="P13:P15" si="5">IF(ISERROR(SEARCH("о",U30)),"",U30)</f>
        <v>собака</v>
      </c>
      <c r="Q13" s="4" t="str">
        <f t="shared" ref="Q13:Q17" si="6">IF(ISERROR(SEARCH("а",S32)),"",S32)</f>
        <v>салат</v>
      </c>
      <c r="S13" s="1" t="s">
        <v>203</v>
      </c>
      <c r="T13" s="2"/>
      <c r="U13" s="1" t="s">
        <v>204</v>
      </c>
      <c r="V13" s="5"/>
      <c r="W13" s="2"/>
    </row>
    <row r="14">
      <c r="A14" s="3" t="s">
        <v>186</v>
      </c>
      <c r="B14" s="1" t="s">
        <v>205</v>
      </c>
      <c r="C14" s="1" t="s">
        <v>206</v>
      </c>
      <c r="D14" s="1" t="s">
        <v>117</v>
      </c>
      <c r="E14" s="1" t="s">
        <v>207</v>
      </c>
      <c r="F14" s="1" t="s">
        <v>208</v>
      </c>
      <c r="G14" s="1" t="s">
        <v>209</v>
      </c>
      <c r="I14" s="1" t="s">
        <v>210</v>
      </c>
      <c r="J14" s="1" t="s">
        <v>211</v>
      </c>
      <c r="L14" s="1" t="s">
        <v>212</v>
      </c>
      <c r="M14" s="1" t="s">
        <v>213</v>
      </c>
      <c r="N14" s="1" t="s">
        <v>214</v>
      </c>
      <c r="O14" s="1" t="s">
        <v>36</v>
      </c>
      <c r="P14" s="4" t="str">
        <f t="shared" si="5"/>
        <v>кошка</v>
      </c>
      <c r="Q14" s="4" t="str">
        <f t="shared" si="6"/>
        <v>щавель</v>
      </c>
      <c r="S14" s="1" t="s">
        <v>215</v>
      </c>
      <c r="T14" s="2"/>
      <c r="U14" s="1" t="s">
        <v>216</v>
      </c>
      <c r="V14" s="5"/>
      <c r="W14" s="2"/>
    </row>
    <row r="15">
      <c r="A15" s="3" t="s">
        <v>90</v>
      </c>
      <c r="B15" s="1" t="s">
        <v>217</v>
      </c>
      <c r="C15" s="1" t="s">
        <v>218</v>
      </c>
      <c r="D15" s="1" t="s">
        <v>219</v>
      </c>
      <c r="E15" s="1" t="s">
        <v>220</v>
      </c>
      <c r="F15" s="1" t="s">
        <v>221</v>
      </c>
      <c r="G15" s="1" t="s">
        <v>222</v>
      </c>
      <c r="I15" s="1" t="s">
        <v>223</v>
      </c>
      <c r="J15" s="1" t="s">
        <v>224</v>
      </c>
      <c r="M15" s="1" t="s">
        <v>225</v>
      </c>
      <c r="N15" s="1" t="s">
        <v>226</v>
      </c>
      <c r="O15" s="1" t="s">
        <v>179</v>
      </c>
      <c r="P15" s="4" t="str">
        <f t="shared" si="5"/>
        <v>лошадь</v>
      </c>
      <c r="Q15" s="4" t="str">
        <f t="shared" si="6"/>
        <v>шпинат</v>
      </c>
      <c r="S15" s="1" t="s">
        <v>227</v>
      </c>
      <c r="T15" s="2"/>
      <c r="U15" s="1" t="s">
        <v>228</v>
      </c>
      <c r="V15" s="5"/>
      <c r="W15" s="2"/>
    </row>
    <row r="16">
      <c r="A16" s="3" t="s">
        <v>72</v>
      </c>
      <c r="B16" s="1" t="s">
        <v>229</v>
      </c>
      <c r="C16" s="1" t="s">
        <v>230</v>
      </c>
      <c r="D16" s="1" t="s">
        <v>231</v>
      </c>
      <c r="E16" s="1" t="s">
        <v>232</v>
      </c>
      <c r="F16" s="1" t="s">
        <v>233</v>
      </c>
      <c r="G16" s="1" t="s">
        <v>234</v>
      </c>
      <c r="I16" s="1" t="s">
        <v>235</v>
      </c>
      <c r="J16" s="1" t="s">
        <v>236</v>
      </c>
      <c r="M16" s="1" t="s">
        <v>237</v>
      </c>
      <c r="N16" s="1" t="s">
        <v>238</v>
      </c>
      <c r="O16" s="1" t="s">
        <v>228</v>
      </c>
      <c r="P16" s="4" t="str">
        <f>IF(ISERROR(SEARCH("о",U34)),"",U34)</f>
        <v>кролик</v>
      </c>
      <c r="Q16" s="4" t="str">
        <f t="shared" si="6"/>
        <v>баклажан</v>
      </c>
      <c r="S16" s="1" t="s">
        <v>239</v>
      </c>
      <c r="T16" s="2"/>
      <c r="U16" s="1" t="s">
        <v>131</v>
      </c>
      <c r="V16" s="5"/>
      <c r="W16" s="2"/>
    </row>
    <row r="17">
      <c r="A17" s="3" t="s">
        <v>113</v>
      </c>
      <c r="B17" s="1" t="s">
        <v>240</v>
      </c>
      <c r="D17" s="1" t="s">
        <v>241</v>
      </c>
      <c r="F17" s="1" t="s">
        <v>242</v>
      </c>
      <c r="G17" s="1" t="s">
        <v>243</v>
      </c>
      <c r="I17" s="1" t="s">
        <v>244</v>
      </c>
      <c r="J17" s="1" t="s">
        <v>245</v>
      </c>
      <c r="M17" s="1" t="s">
        <v>246</v>
      </c>
      <c r="O17" s="1" t="s">
        <v>247</v>
      </c>
      <c r="P17" s="4" t="str">
        <f>IF(ISERROR(SEARCH("о",U36)),"",U36)</f>
        <v>носорог</v>
      </c>
      <c r="Q17" s="4" t="str">
        <f t="shared" si="6"/>
        <v>спаржа</v>
      </c>
      <c r="S17" s="1" t="s">
        <v>248</v>
      </c>
      <c r="T17" s="2"/>
      <c r="U17" s="1" t="s">
        <v>66</v>
      </c>
      <c r="V17" s="5"/>
      <c r="W17" s="2"/>
    </row>
    <row r="18">
      <c r="A18" s="3" t="s">
        <v>119</v>
      </c>
      <c r="B18" s="1" t="s">
        <v>249</v>
      </c>
      <c r="D18" s="1" t="s">
        <v>250</v>
      </c>
      <c r="F18" s="1" t="s">
        <v>52</v>
      </c>
      <c r="G18" s="1" t="s">
        <v>251</v>
      </c>
      <c r="I18" s="1" t="s">
        <v>252</v>
      </c>
      <c r="J18" s="1" t="s">
        <v>253</v>
      </c>
      <c r="M18" s="1" t="s">
        <v>86</v>
      </c>
      <c r="P18" s="4" t="str">
        <f>IF(ISERROR(SEARCH("о",U38)),"",U38)</f>
        <v>леопард</v>
      </c>
      <c r="Q18" s="4" t="str">
        <f>IF(ISERROR(SEARCH("а",S22)),"",S22)</f>
        <v>репа</v>
      </c>
      <c r="S18" s="1" t="s">
        <v>254</v>
      </c>
      <c r="T18" s="2"/>
      <c r="U18" s="1" t="s">
        <v>255</v>
      </c>
      <c r="V18" s="5"/>
      <c r="W18" s="2"/>
    </row>
    <row r="19">
      <c r="A19" s="3" t="s">
        <v>104</v>
      </c>
      <c r="B19" s="1" t="s">
        <v>256</v>
      </c>
      <c r="D19" s="1" t="s">
        <v>257</v>
      </c>
      <c r="G19" s="1" t="s">
        <v>258</v>
      </c>
      <c r="I19" s="1" t="s">
        <v>259</v>
      </c>
      <c r="J19" s="1" t="s">
        <v>74</v>
      </c>
      <c r="M19" s="1" t="s">
        <v>260</v>
      </c>
      <c r="P19" s="4" t="str">
        <f>IF(ISERROR(SEARCH("о",U42)),"",U42)</f>
        <v>бегемот</v>
      </c>
      <c r="Q19" s="4" t="str">
        <f t="shared" ref="Q19:Q20" si="7">IF(ISERROR(SEARCH("а",S38)),"",S38)</f>
        <v>кукуруза</v>
      </c>
      <c r="S19" s="1" t="s">
        <v>261</v>
      </c>
      <c r="T19" s="2"/>
      <c r="U19" s="1" t="s">
        <v>262</v>
      </c>
      <c r="V19" s="5"/>
      <c r="W19" s="2"/>
    </row>
    <row r="20">
      <c r="A20" s="3" t="s">
        <v>43</v>
      </c>
      <c r="B20" s="1" t="s">
        <v>263</v>
      </c>
      <c r="G20" s="1" t="s">
        <v>264</v>
      </c>
      <c r="I20" s="1" t="s">
        <v>265</v>
      </c>
      <c r="J20" s="1" t="s">
        <v>266</v>
      </c>
      <c r="M20" s="1" t="s">
        <v>267</v>
      </c>
      <c r="P20" s="4" t="str">
        <f t="shared" ref="P20:P21" si="8">IF(ISERROR(SEARCH("о",U44)),"",U44)</f>
        <v>соболь</v>
      </c>
      <c r="Q20" s="4" t="str">
        <f t="shared" si="7"/>
        <v>фасоль</v>
      </c>
      <c r="S20" s="1" t="s">
        <v>268</v>
      </c>
      <c r="T20" s="2"/>
      <c r="U20" s="1" t="s">
        <v>269</v>
      </c>
      <c r="V20" s="5"/>
      <c r="W20" s="2"/>
    </row>
    <row r="21">
      <c r="A21" s="3" t="s">
        <v>241</v>
      </c>
      <c r="B21" s="1" t="s">
        <v>270</v>
      </c>
      <c r="G21" s="1" t="s">
        <v>271</v>
      </c>
      <c r="J21" s="1" t="s">
        <v>272</v>
      </c>
      <c r="P21" s="4" t="str">
        <f t="shared" si="8"/>
        <v>норка</v>
      </c>
      <c r="Q21" s="4" t="str">
        <f>IF(ISERROR(SEARCH("а",S21)),"",S21)</f>
        <v>кабачок</v>
      </c>
      <c r="S21" s="1" t="s">
        <v>273</v>
      </c>
      <c r="T21" s="2"/>
      <c r="U21" s="1" t="s">
        <v>274</v>
      </c>
      <c r="V21" s="5"/>
      <c r="W21" s="2"/>
    </row>
    <row r="22">
      <c r="A22" s="3" t="s">
        <v>56</v>
      </c>
      <c r="P22" s="4" t="str">
        <f t="shared" ref="P22:P24" si="9">IF(ISERROR(SEARCH("о",U47)),"",U47)</f>
        <v>росомаха</v>
      </c>
      <c r="Q22" s="4" t="str">
        <f>IF(ISERROR(SEARCH("а",S41)),"",S41)</f>
        <v>авокадо</v>
      </c>
      <c r="S22" s="1" t="s">
        <v>275</v>
      </c>
      <c r="T22" s="2"/>
      <c r="U22" s="1" t="s">
        <v>202</v>
      </c>
      <c r="V22" s="5"/>
      <c r="W22" s="2"/>
    </row>
    <row r="23">
      <c r="A23" s="3" t="s">
        <v>270</v>
      </c>
      <c r="P23" s="4" t="str">
        <f t="shared" si="9"/>
        <v>хорек</v>
      </c>
      <c r="Q23" s="4" t="str">
        <f>IF(ISERROR(SEARCH("а",S18)),"",S18)</f>
        <v>свекла</v>
      </c>
      <c r="S23" s="1" t="s">
        <v>276</v>
      </c>
      <c r="T23" s="2"/>
      <c r="U23" s="1" t="s">
        <v>277</v>
      </c>
      <c r="V23" s="5"/>
      <c r="W23" s="2"/>
    </row>
    <row r="24">
      <c r="A24" s="3" t="s">
        <v>182</v>
      </c>
      <c r="P24" s="4" t="str">
        <f t="shared" si="9"/>
        <v>дикобраз</v>
      </c>
      <c r="Q24" s="4" t="str">
        <f t="shared" ref="Q24:Q28" si="10">IF(ISERROR(SEARCH("а",S43)),"",S43)</f>
        <v>томат</v>
      </c>
      <c r="S24" s="1" t="s">
        <v>278</v>
      </c>
      <c r="T24" s="2"/>
      <c r="U24" s="1" t="s">
        <v>279</v>
      </c>
      <c r="V24" s="5"/>
      <c r="W24" s="2"/>
    </row>
    <row r="25">
      <c r="A25" s="3" t="s">
        <v>154</v>
      </c>
      <c r="P25" s="4" t="str">
        <f t="shared" ref="P25:P26" si="11">IF(ISERROR(SEARCH("о",U54)),"",U54)</f>
        <v>енот</v>
      </c>
      <c r="Q25" s="4" t="str">
        <f t="shared" si="10"/>
        <v>апельсин</v>
      </c>
      <c r="S25" s="1" t="s">
        <v>280</v>
      </c>
      <c r="T25" s="2"/>
      <c r="U25" s="1" t="s">
        <v>281</v>
      </c>
      <c r="V25" s="5"/>
      <c r="W25" s="2"/>
    </row>
    <row r="26">
      <c r="A26" s="3" t="s">
        <v>103</v>
      </c>
      <c r="P26" s="4" t="str">
        <f t="shared" si="11"/>
        <v>коала</v>
      </c>
      <c r="Q26" s="4" t="str">
        <f t="shared" si="10"/>
        <v>мандарин</v>
      </c>
      <c r="S26" s="1" t="s">
        <v>282</v>
      </c>
      <c r="T26" s="2"/>
      <c r="U26" s="1" t="s">
        <v>33</v>
      </c>
      <c r="V26" s="5"/>
      <c r="W26" s="2"/>
    </row>
    <row r="27">
      <c r="A27" s="3" t="s">
        <v>245</v>
      </c>
      <c r="P27" s="4" t="str">
        <f t="shared" ref="P27:P28" si="12">IF(ISERROR(SEARCH("о",U57)),"",U57)</f>
        <v>косуля</v>
      </c>
      <c r="Q27" s="4" t="str">
        <f t="shared" si="10"/>
        <v>банан</v>
      </c>
      <c r="S27" s="1" t="s">
        <v>283</v>
      </c>
      <c r="T27" s="2"/>
      <c r="U27" s="1" t="s">
        <v>177</v>
      </c>
      <c r="V27" s="5"/>
      <c r="W27" s="2"/>
    </row>
    <row r="28">
      <c r="A28" s="3" t="s">
        <v>155</v>
      </c>
      <c r="P28" s="4" t="str">
        <f t="shared" si="12"/>
        <v>горилла</v>
      </c>
      <c r="Q28" s="4" t="str">
        <f t="shared" si="10"/>
        <v>ананас</v>
      </c>
      <c r="S28" s="1" t="s">
        <v>284</v>
      </c>
      <c r="T28" s="2"/>
      <c r="U28" s="1" t="s">
        <v>285</v>
      </c>
      <c r="V28" s="5"/>
      <c r="W28" s="2"/>
    </row>
    <row r="29">
      <c r="A29" s="3" t="s">
        <v>141</v>
      </c>
      <c r="P29" s="4" t="str">
        <f>IF(ISERROR(SEARCH("о",U62)),"",U62)</f>
        <v>хомяк</v>
      </c>
      <c r="Q29" s="4" t="str">
        <f t="shared" ref="Q29:Q30" si="13">IF(ISERROR(SEARCH("а",S49)),"",S49)</f>
        <v>виноград</v>
      </c>
      <c r="S29" s="1" t="s">
        <v>286</v>
      </c>
      <c r="T29" s="2"/>
      <c r="U29" s="1" t="s">
        <v>287</v>
      </c>
      <c r="V29" s="5"/>
      <c r="W29" s="2"/>
    </row>
    <row r="30">
      <c r="A30" s="3" t="s">
        <v>121</v>
      </c>
      <c r="P30" s="4" t="str">
        <f t="shared" ref="P30:P31" si="14">IF(ISERROR(SEARCH("о",U64)),"",U64)</f>
        <v>щенок</v>
      </c>
      <c r="Q30" s="4" t="str">
        <f t="shared" si="13"/>
        <v>гранат</v>
      </c>
      <c r="S30" s="1" t="s">
        <v>288</v>
      </c>
      <c r="T30" s="2"/>
      <c r="U30" s="1" t="s">
        <v>289</v>
      </c>
      <c r="V30" s="5"/>
      <c r="W30" s="2"/>
    </row>
    <row r="31">
      <c r="A31" s="3" t="s">
        <v>237</v>
      </c>
      <c r="P31" s="4" t="str">
        <f t="shared" si="14"/>
        <v>котенок</v>
      </c>
      <c r="Q31" s="4" t="str">
        <f>IF(ISERROR(SEARCH("а",S58)),"",S58)</f>
        <v>облепиха</v>
      </c>
      <c r="S31" s="1" t="s">
        <v>290</v>
      </c>
      <c r="T31" s="2"/>
      <c r="U31" s="1" t="s">
        <v>291</v>
      </c>
      <c r="V31" s="5"/>
      <c r="W31" s="2"/>
    </row>
    <row r="32">
      <c r="A32" s="3" t="s">
        <v>19</v>
      </c>
      <c r="S32" s="1" t="s">
        <v>292</v>
      </c>
      <c r="T32" s="2"/>
      <c r="U32" s="1" t="s">
        <v>293</v>
      </c>
      <c r="V32" s="5"/>
      <c r="W32" s="2"/>
    </row>
    <row r="33">
      <c r="A33" s="3" t="s">
        <v>153</v>
      </c>
      <c r="S33" s="1" t="s">
        <v>294</v>
      </c>
      <c r="T33" s="2"/>
      <c r="U33" s="1" t="s">
        <v>49</v>
      </c>
      <c r="V33" s="5"/>
      <c r="W33" s="2"/>
    </row>
    <row r="34">
      <c r="A34" s="3" t="s">
        <v>52</v>
      </c>
      <c r="S34" s="1" t="s">
        <v>295</v>
      </c>
      <c r="T34" s="2"/>
      <c r="U34" s="1" t="s">
        <v>296</v>
      </c>
      <c r="V34" s="5"/>
      <c r="W34" s="2"/>
    </row>
    <row r="35">
      <c r="A35" s="3" t="s">
        <v>69</v>
      </c>
      <c r="S35" s="1" t="s">
        <v>297</v>
      </c>
      <c r="T35" s="2"/>
      <c r="U35" s="1" t="s">
        <v>36</v>
      </c>
      <c r="V35" s="5"/>
      <c r="W35" s="2"/>
    </row>
    <row r="36">
      <c r="A36" s="3" t="s">
        <v>86</v>
      </c>
      <c r="S36" s="1" t="s">
        <v>298</v>
      </c>
      <c r="T36" s="2"/>
      <c r="U36" s="1" t="s">
        <v>299</v>
      </c>
      <c r="V36" s="5"/>
      <c r="W36" s="2"/>
    </row>
    <row r="37">
      <c r="A37" s="3" t="s">
        <v>102</v>
      </c>
      <c r="S37" s="1" t="s">
        <v>300</v>
      </c>
      <c r="T37" s="2"/>
      <c r="U37" s="1" t="s">
        <v>301</v>
      </c>
      <c r="V37" s="5"/>
      <c r="W37" s="2"/>
    </row>
    <row r="38">
      <c r="A38" s="3" t="s">
        <v>185</v>
      </c>
      <c r="O38" s="4" t="str">
        <f>IF(ISERROR(SEARCH("о",U38)), U38, "")</f>
        <v/>
      </c>
      <c r="S38" s="1" t="s">
        <v>302</v>
      </c>
      <c r="T38" s="2"/>
      <c r="U38" s="1" t="s">
        <v>303</v>
      </c>
      <c r="V38" s="5"/>
      <c r="W38" s="2"/>
    </row>
    <row r="39">
      <c r="A39" s="3" t="s">
        <v>120</v>
      </c>
      <c r="S39" s="1" t="s">
        <v>304</v>
      </c>
      <c r="T39" s="2"/>
      <c r="U39" s="1" t="s">
        <v>305</v>
      </c>
      <c r="V39" s="5"/>
      <c r="W39" s="2"/>
    </row>
    <row r="40">
      <c r="A40" s="3" t="s">
        <v>129</v>
      </c>
      <c r="S40" s="1" t="s">
        <v>306</v>
      </c>
      <c r="T40" s="2"/>
      <c r="U40" s="1" t="s">
        <v>307</v>
      </c>
      <c r="V40" s="5"/>
      <c r="W40" s="2"/>
    </row>
    <row r="41">
      <c r="A41" s="3" t="s">
        <v>65</v>
      </c>
      <c r="S41" s="1" t="s">
        <v>308</v>
      </c>
      <c r="T41" s="2"/>
      <c r="U41" s="1" t="s">
        <v>309</v>
      </c>
      <c r="V41" s="5"/>
      <c r="W41" s="2"/>
    </row>
    <row r="42">
      <c r="A42" s="3" t="s">
        <v>127</v>
      </c>
      <c r="S42" s="1" t="s">
        <v>310</v>
      </c>
      <c r="T42" s="2"/>
      <c r="U42" s="1" t="s">
        <v>311</v>
      </c>
      <c r="V42" s="5"/>
      <c r="W42" s="2"/>
    </row>
    <row r="43">
      <c r="A43" s="3" t="s">
        <v>32</v>
      </c>
      <c r="S43" s="1" t="s">
        <v>312</v>
      </c>
      <c r="T43" s="2"/>
      <c r="U43" s="1" t="s">
        <v>313</v>
      </c>
      <c r="V43" s="5"/>
      <c r="W43" s="2"/>
    </row>
    <row r="44">
      <c r="A44" s="3" t="s">
        <v>186</v>
      </c>
      <c r="S44" s="1" t="s">
        <v>314</v>
      </c>
      <c r="T44" s="2"/>
      <c r="U44" s="1" t="s">
        <v>315</v>
      </c>
      <c r="V44" s="5"/>
      <c r="W44" s="2"/>
    </row>
    <row r="45">
      <c r="A45" s="3" t="s">
        <v>99</v>
      </c>
      <c r="S45" s="1" t="s">
        <v>316</v>
      </c>
      <c r="T45" s="2"/>
      <c r="U45" s="1" t="s">
        <v>317</v>
      </c>
      <c r="V45" s="5"/>
      <c r="W45" s="2"/>
    </row>
    <row r="46">
      <c r="A46" s="3" t="s">
        <v>72</v>
      </c>
      <c r="S46" s="1" t="s">
        <v>318</v>
      </c>
      <c r="T46" s="2"/>
      <c r="U46" s="1" t="s">
        <v>319</v>
      </c>
      <c r="V46" s="5"/>
      <c r="W46" s="2"/>
    </row>
    <row r="47">
      <c r="A47" s="3" t="s">
        <v>113</v>
      </c>
      <c r="S47" s="1" t="s">
        <v>320</v>
      </c>
      <c r="T47" s="2"/>
      <c r="U47" s="1" t="s">
        <v>321</v>
      </c>
      <c r="V47" s="5"/>
      <c r="W47" s="2"/>
    </row>
    <row r="48">
      <c r="A48" s="3" t="s">
        <v>238</v>
      </c>
      <c r="O48" s="4" t="str">
        <f t="shared" ref="O48:O49" si="15">IF(ISERROR(SEARCH("о",U48)), U48, "")</f>
        <v/>
      </c>
      <c r="S48" s="1" t="s">
        <v>322</v>
      </c>
      <c r="T48" s="2"/>
      <c r="U48" s="1" t="s">
        <v>323</v>
      </c>
      <c r="V48" s="5"/>
      <c r="W48" s="2"/>
    </row>
    <row r="49">
      <c r="A49" s="3" t="s">
        <v>205</v>
      </c>
      <c r="O49" s="4" t="str">
        <f t="shared" si="15"/>
        <v/>
      </c>
      <c r="S49" s="1" t="s">
        <v>324</v>
      </c>
      <c r="T49" s="2"/>
      <c r="U49" s="1" t="s">
        <v>325</v>
      </c>
      <c r="V49" s="5"/>
      <c r="W49" s="2"/>
    </row>
    <row r="50">
      <c r="A50" s="3" t="s">
        <v>43</v>
      </c>
      <c r="S50" s="1" t="s">
        <v>326</v>
      </c>
      <c r="T50" s="2"/>
      <c r="U50" s="1" t="s">
        <v>327</v>
      </c>
      <c r="V50" s="5"/>
      <c r="W50" s="2"/>
    </row>
    <row r="51">
      <c r="A51" s="3" t="s">
        <v>260</v>
      </c>
      <c r="S51" s="1" t="s">
        <v>328</v>
      </c>
      <c r="T51" s="2"/>
      <c r="U51" s="1" t="s">
        <v>247</v>
      </c>
      <c r="V51" s="5"/>
      <c r="W51" s="2"/>
    </row>
    <row r="52">
      <c r="A52" s="3" t="s">
        <v>56</v>
      </c>
      <c r="S52" s="1" t="s">
        <v>329</v>
      </c>
      <c r="T52" s="2"/>
      <c r="U52" s="1" t="s">
        <v>330</v>
      </c>
      <c r="V52" s="5"/>
      <c r="W52" s="2"/>
    </row>
    <row r="53">
      <c r="A53" s="3" t="s">
        <v>270</v>
      </c>
      <c r="S53" s="1" t="s">
        <v>331</v>
      </c>
      <c r="T53" s="2"/>
      <c r="U53" s="1" t="s">
        <v>332</v>
      </c>
      <c r="V53" s="5"/>
      <c r="W53" s="2"/>
    </row>
    <row r="54">
      <c r="A54" s="3" t="s">
        <v>182</v>
      </c>
      <c r="O54" s="4" t="str">
        <f t="shared" ref="O54:O55" si="16">IF(ISERROR(SEARCH("о",U54)), U54, "")</f>
        <v/>
      </c>
      <c r="S54" s="1" t="s">
        <v>333</v>
      </c>
      <c r="T54" s="2"/>
      <c r="U54" s="1" t="s">
        <v>334</v>
      </c>
      <c r="V54" s="5"/>
      <c r="W54" s="2"/>
    </row>
    <row r="55">
      <c r="A55" s="3" t="s">
        <v>75</v>
      </c>
      <c r="O55" s="4" t="str">
        <f t="shared" si="16"/>
        <v/>
      </c>
      <c r="S55" s="1" t="s">
        <v>335</v>
      </c>
      <c r="T55" s="2"/>
      <c r="U55" s="1" t="s">
        <v>336</v>
      </c>
      <c r="V55" s="5"/>
      <c r="W55" s="2"/>
    </row>
    <row r="56">
      <c r="A56" s="3" t="s">
        <v>103</v>
      </c>
      <c r="S56" s="1" t="s">
        <v>337</v>
      </c>
      <c r="T56" s="2"/>
      <c r="U56" s="1" t="s">
        <v>338</v>
      </c>
      <c r="V56" s="5"/>
      <c r="W56" s="2"/>
    </row>
    <row r="57">
      <c r="A57" s="3" t="s">
        <v>245</v>
      </c>
      <c r="O57" s="4" t="str">
        <f t="shared" ref="O57:O58" si="17">IF(ISERROR(SEARCH("о",U57)), U57, "")</f>
        <v/>
      </c>
      <c r="S57" s="1" t="s">
        <v>339</v>
      </c>
      <c r="T57" s="2"/>
      <c r="U57" s="1" t="s">
        <v>340</v>
      </c>
      <c r="V57" s="5"/>
      <c r="W57" s="2"/>
    </row>
    <row r="58">
      <c r="A58" s="3" t="s">
        <v>155</v>
      </c>
      <c r="O58" s="4" t="str">
        <f t="shared" si="17"/>
        <v/>
      </c>
      <c r="S58" s="1" t="s">
        <v>341</v>
      </c>
      <c r="T58" s="2"/>
      <c r="U58" s="1" t="s">
        <v>342</v>
      </c>
      <c r="V58" s="5"/>
      <c r="W58" s="2"/>
    </row>
    <row r="59">
      <c r="A59" s="3" t="s">
        <v>141</v>
      </c>
      <c r="P59" s="4" t="str">
        <f t="shared" ref="P59:P61" si="18">IF(ISERROR(SEARCH("о",U59)),"",U59)</f>
        <v/>
      </c>
      <c r="Q59" s="4" t="str">
        <f t="shared" ref="Q59:Q108" si="19">IF(ISERROR(SEARCH("а",S59)),"",S59)</f>
        <v/>
      </c>
      <c r="T59" s="2"/>
      <c r="U59" s="1" t="s">
        <v>343</v>
      </c>
      <c r="V59" s="5"/>
      <c r="W59" s="2"/>
    </row>
    <row r="60">
      <c r="A60" s="3" t="s">
        <v>64</v>
      </c>
      <c r="P60" s="4" t="str">
        <f t="shared" si="18"/>
        <v/>
      </c>
      <c r="Q60" s="4" t="str">
        <f t="shared" si="19"/>
        <v/>
      </c>
      <c r="T60" s="2"/>
      <c r="U60" s="1" t="s">
        <v>344</v>
      </c>
      <c r="V60" s="5"/>
      <c r="W60" s="2"/>
    </row>
    <row r="61">
      <c r="A61" s="3" t="s">
        <v>237</v>
      </c>
      <c r="P61" s="4" t="str">
        <f t="shared" si="18"/>
        <v/>
      </c>
      <c r="Q61" s="4" t="str">
        <f t="shared" si="19"/>
        <v/>
      </c>
      <c r="T61" s="2"/>
      <c r="U61" s="1" t="s">
        <v>345</v>
      </c>
      <c r="V61" s="5"/>
      <c r="W61" s="2"/>
    </row>
    <row r="62">
      <c r="A62" s="3" t="s">
        <v>19</v>
      </c>
      <c r="Q62" s="4" t="str">
        <f t="shared" si="19"/>
        <v/>
      </c>
      <c r="T62" s="2"/>
      <c r="U62" s="1" t="s">
        <v>346</v>
      </c>
      <c r="V62" s="5"/>
      <c r="W62" s="2"/>
    </row>
    <row r="63">
      <c r="A63" s="3" t="s">
        <v>153</v>
      </c>
      <c r="Q63" s="4" t="str">
        <f t="shared" si="19"/>
        <v/>
      </c>
      <c r="T63" s="2"/>
      <c r="U63" s="1" t="s">
        <v>147</v>
      </c>
      <c r="V63" s="5"/>
      <c r="W63" s="2"/>
    </row>
    <row r="64">
      <c r="A64" s="3" t="s">
        <v>52</v>
      </c>
      <c r="O64" s="4" t="str">
        <f t="shared" ref="O64:O65" si="20">IF(ISERROR(SEARCH("о",U64)), U64, "")</f>
        <v/>
      </c>
      <c r="Q64" s="4" t="str">
        <f t="shared" si="19"/>
        <v/>
      </c>
      <c r="T64" s="2"/>
      <c r="U64" s="1" t="s">
        <v>347</v>
      </c>
      <c r="V64" s="5"/>
      <c r="W64" s="2"/>
    </row>
    <row r="65">
      <c r="A65" s="3" t="s">
        <v>135</v>
      </c>
      <c r="O65" s="4" t="str">
        <f t="shared" si="20"/>
        <v/>
      </c>
      <c r="Q65" s="4" t="str">
        <f t="shared" si="19"/>
        <v/>
      </c>
      <c r="T65" s="2"/>
      <c r="U65" s="1" t="s">
        <v>348</v>
      </c>
      <c r="V65" s="5"/>
      <c r="W65" s="2"/>
    </row>
    <row r="66">
      <c r="A66" s="3" t="s">
        <v>86</v>
      </c>
      <c r="P66" s="4" t="str">
        <f t="shared" ref="P66:P68" si="21">IF(ISERROR(SEARCH("о",U66)),"",U66)</f>
        <v/>
      </c>
      <c r="Q66" s="4" t="str">
        <f t="shared" si="19"/>
        <v/>
      </c>
      <c r="T66" s="2"/>
      <c r="U66" s="1" t="s">
        <v>83</v>
      </c>
      <c r="V66" s="5"/>
      <c r="W66" s="2"/>
    </row>
    <row r="67">
      <c r="A67" s="3" t="s">
        <v>102</v>
      </c>
      <c r="P67" s="4" t="str">
        <f t="shared" si="21"/>
        <v/>
      </c>
      <c r="Q67" s="4" t="str">
        <f t="shared" si="19"/>
        <v/>
      </c>
      <c r="T67" s="2"/>
      <c r="V67" s="5"/>
      <c r="W67" s="2"/>
    </row>
    <row r="68">
      <c r="A68" s="3" t="s">
        <v>117</v>
      </c>
      <c r="P68" s="4" t="str">
        <f t="shared" si="21"/>
        <v/>
      </c>
      <c r="Q68" s="4" t="str">
        <f t="shared" si="19"/>
        <v/>
      </c>
      <c r="T68" s="2"/>
      <c r="V68" s="5"/>
      <c r="W68" s="2"/>
    </row>
    <row r="69">
      <c r="A69" s="3" t="s">
        <v>130</v>
      </c>
      <c r="Q69" s="4" t="str">
        <f t="shared" si="19"/>
        <v/>
      </c>
      <c r="T69" s="2"/>
      <c r="V69" s="5"/>
      <c r="W69" s="2"/>
    </row>
    <row r="70">
      <c r="A70" s="3" t="s">
        <v>129</v>
      </c>
      <c r="Q70" s="4" t="str">
        <f t="shared" si="19"/>
        <v/>
      </c>
      <c r="T70" s="2"/>
      <c r="V70" s="5"/>
      <c r="W70" s="2"/>
    </row>
    <row r="71">
      <c r="A71" s="3" t="s">
        <v>27</v>
      </c>
      <c r="Q71" s="4" t="str">
        <f t="shared" si="19"/>
        <v/>
      </c>
      <c r="T71" s="2"/>
      <c r="V71" s="5"/>
      <c r="W71" s="2"/>
    </row>
    <row r="72">
      <c r="A72" s="3" t="s">
        <v>127</v>
      </c>
      <c r="Q72" s="4" t="str">
        <f t="shared" si="19"/>
        <v/>
      </c>
      <c r="T72" s="2"/>
      <c r="V72" s="5"/>
      <c r="W72" s="2"/>
    </row>
    <row r="73">
      <c r="A73" s="3" t="s">
        <v>24</v>
      </c>
      <c r="Q73" s="4" t="str">
        <f t="shared" si="19"/>
        <v/>
      </c>
      <c r="T73" s="2"/>
      <c r="V73" s="5"/>
      <c r="W73" s="2"/>
    </row>
    <row r="74">
      <c r="A74" s="3" t="s">
        <v>186</v>
      </c>
      <c r="Q74" s="4" t="str">
        <f t="shared" si="19"/>
        <v/>
      </c>
      <c r="T74" s="2"/>
      <c r="V74" s="5"/>
      <c r="W74" s="2"/>
    </row>
    <row r="75">
      <c r="A75" s="3" t="s">
        <v>44</v>
      </c>
      <c r="Q75" s="4" t="str">
        <f t="shared" si="19"/>
        <v/>
      </c>
      <c r="T75" s="2"/>
      <c r="V75" s="5"/>
      <c r="W75" s="2"/>
    </row>
    <row r="76">
      <c r="A76" s="3" t="s">
        <v>72</v>
      </c>
      <c r="Q76" s="4" t="str">
        <f t="shared" si="19"/>
        <v/>
      </c>
      <c r="T76" s="2"/>
      <c r="V76" s="5"/>
      <c r="W76" s="2"/>
    </row>
    <row r="77">
      <c r="A77" s="3" t="s">
        <v>113</v>
      </c>
      <c r="Q77" s="4" t="str">
        <f t="shared" si="19"/>
        <v/>
      </c>
      <c r="T77" s="2"/>
      <c r="V77" s="5"/>
      <c r="W77" s="2"/>
    </row>
    <row r="78">
      <c r="A78" s="3" t="s">
        <v>238</v>
      </c>
      <c r="Q78" s="4" t="str">
        <f t="shared" si="19"/>
        <v/>
      </c>
      <c r="T78" s="2"/>
      <c r="V78" s="5"/>
      <c r="W78" s="2"/>
    </row>
    <row r="79">
      <c r="A79" s="3" t="s">
        <v>205</v>
      </c>
      <c r="Q79" s="4" t="str">
        <f t="shared" si="19"/>
        <v/>
      </c>
      <c r="T79" s="2"/>
      <c r="V79" s="5"/>
      <c r="W79" s="2"/>
    </row>
    <row r="80">
      <c r="A80" s="3" t="s">
        <v>43</v>
      </c>
      <c r="Q80" s="4" t="str">
        <f t="shared" si="19"/>
        <v/>
      </c>
      <c r="T80" s="2"/>
      <c r="V80" s="5"/>
      <c r="W80" s="2"/>
    </row>
    <row r="81">
      <c r="A81" s="3" t="s">
        <v>236</v>
      </c>
      <c r="Q81" s="4" t="str">
        <f t="shared" si="19"/>
        <v/>
      </c>
      <c r="T81" s="2"/>
      <c r="V81" s="5"/>
      <c r="W81" s="2"/>
    </row>
    <row r="82">
      <c r="A82" s="3" t="s">
        <v>56</v>
      </c>
      <c r="Q82" s="4" t="str">
        <f t="shared" si="19"/>
        <v/>
      </c>
      <c r="T82" s="2"/>
      <c r="V82" s="5"/>
      <c r="W82" s="2"/>
    </row>
    <row r="83">
      <c r="A83" s="3" t="s">
        <v>270</v>
      </c>
      <c r="Q83" s="4" t="str">
        <f t="shared" si="19"/>
        <v/>
      </c>
      <c r="T83" s="2"/>
      <c r="V83" s="5"/>
      <c r="W83" s="2"/>
    </row>
    <row r="84">
      <c r="A84" s="3" t="s">
        <v>92</v>
      </c>
      <c r="Q84" s="4" t="str">
        <f t="shared" si="19"/>
        <v/>
      </c>
      <c r="T84" s="2"/>
      <c r="V84" s="5"/>
      <c r="W84" s="2"/>
    </row>
    <row r="85">
      <c r="A85" s="3" t="s">
        <v>154</v>
      </c>
      <c r="Q85" s="4" t="str">
        <f t="shared" si="19"/>
        <v/>
      </c>
      <c r="T85" s="2"/>
      <c r="V85" s="5"/>
      <c r="W85" s="2"/>
    </row>
    <row r="86">
      <c r="A86" s="3" t="s">
        <v>58</v>
      </c>
      <c r="Q86" s="4" t="str">
        <f t="shared" si="19"/>
        <v/>
      </c>
      <c r="T86" s="2"/>
      <c r="V86" s="5"/>
      <c r="W86" s="2"/>
    </row>
    <row r="87">
      <c r="A87" s="3" t="s">
        <v>245</v>
      </c>
      <c r="Q87" s="4" t="str">
        <f t="shared" si="19"/>
        <v/>
      </c>
      <c r="T87" s="2"/>
      <c r="V87" s="5"/>
      <c r="W87" s="2"/>
    </row>
    <row r="88">
      <c r="A88" s="3" t="s">
        <v>155</v>
      </c>
      <c r="Q88" s="4" t="str">
        <f t="shared" si="19"/>
        <v/>
      </c>
      <c r="T88" s="2"/>
      <c r="V88" s="5"/>
      <c r="W88" s="2"/>
    </row>
    <row r="89">
      <c r="A89" s="3" t="s">
        <v>125</v>
      </c>
      <c r="Q89" s="4" t="str">
        <f t="shared" si="19"/>
        <v/>
      </c>
      <c r="T89" s="2"/>
      <c r="V89" s="5"/>
      <c r="W89" s="2"/>
    </row>
    <row r="90">
      <c r="A90" s="3" t="s">
        <v>64</v>
      </c>
      <c r="Q90" s="4" t="str">
        <f t="shared" si="19"/>
        <v/>
      </c>
      <c r="T90" s="2"/>
      <c r="V90" s="5"/>
      <c r="W90" s="2"/>
    </row>
    <row r="91">
      <c r="A91" s="3" t="s">
        <v>237</v>
      </c>
      <c r="Q91" s="4" t="str">
        <f t="shared" si="19"/>
        <v/>
      </c>
      <c r="T91" s="2"/>
      <c r="V91" s="5"/>
      <c r="W91" s="2"/>
    </row>
    <row r="92">
      <c r="A92" s="6"/>
      <c r="Q92" s="4" t="str">
        <f t="shared" si="19"/>
        <v/>
      </c>
    </row>
    <row r="93">
      <c r="A93" s="2"/>
      <c r="Q93" s="4" t="str">
        <f t="shared" si="19"/>
        <v/>
      </c>
    </row>
    <row r="94">
      <c r="A94" s="2"/>
      <c r="Q94" s="4" t="str">
        <f t="shared" si="19"/>
        <v/>
      </c>
    </row>
    <row r="95">
      <c r="A95" s="2"/>
      <c r="Q95" s="4" t="str">
        <f t="shared" si="19"/>
        <v/>
      </c>
    </row>
    <row r="96">
      <c r="A96" s="2"/>
      <c r="Q96" s="4" t="str">
        <f t="shared" si="19"/>
        <v/>
      </c>
    </row>
    <row r="97">
      <c r="A97" s="2"/>
      <c r="Q97" s="4" t="str">
        <f t="shared" si="19"/>
        <v/>
      </c>
    </row>
    <row r="98">
      <c r="A98" s="2"/>
      <c r="Q98" s="4" t="str">
        <f t="shared" si="19"/>
        <v/>
      </c>
    </row>
    <row r="99">
      <c r="A99" s="2"/>
      <c r="Q99" s="4" t="str">
        <f t="shared" si="19"/>
        <v/>
      </c>
    </row>
    <row r="100">
      <c r="A100" s="2"/>
      <c r="Q100" s="4" t="str">
        <f t="shared" si="19"/>
        <v/>
      </c>
    </row>
    <row r="101">
      <c r="A101" s="2"/>
      <c r="Q101" s="4" t="str">
        <f t="shared" si="19"/>
        <v/>
      </c>
    </row>
    <row r="102">
      <c r="A102" s="2"/>
      <c r="Q102" s="4" t="str">
        <f t="shared" si="19"/>
        <v/>
      </c>
    </row>
    <row r="103">
      <c r="A103" s="2"/>
      <c r="Q103" s="4" t="str">
        <f t="shared" si="19"/>
        <v/>
      </c>
    </row>
    <row r="104">
      <c r="A104" s="2"/>
      <c r="Q104" s="4" t="str">
        <f t="shared" si="19"/>
        <v/>
      </c>
    </row>
    <row r="105">
      <c r="A105" s="2"/>
      <c r="Q105" s="4" t="str">
        <f t="shared" si="19"/>
        <v/>
      </c>
    </row>
    <row r="106">
      <c r="A106" s="2"/>
      <c r="Q106" s="4" t="str">
        <f t="shared" si="19"/>
        <v/>
      </c>
    </row>
    <row r="107">
      <c r="A107" s="2"/>
      <c r="Q107" s="4" t="str">
        <f t="shared" si="19"/>
        <v/>
      </c>
    </row>
    <row r="108">
      <c r="A108" s="2"/>
      <c r="Q108" s="4" t="str">
        <f t="shared" si="19"/>
        <v/>
      </c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  <row r="1009">
      <c r="A1009" s="2"/>
    </row>
    <row r="1010">
      <c r="A1010" s="2"/>
    </row>
    <row r="1011">
      <c r="A1011" s="2"/>
    </row>
    <row r="1012">
      <c r="A1012" s="2"/>
    </row>
    <row r="1013">
      <c r="A1013" s="2"/>
    </row>
    <row r="1014">
      <c r="A1014" s="2"/>
    </row>
    <row r="1015">
      <c r="A1015" s="2"/>
    </row>
    <row r="1016">
      <c r="A1016" s="2"/>
    </row>
    <row r="1017">
      <c r="A1017" s="2"/>
    </row>
    <row r="1018">
      <c r="A1018" s="2"/>
    </row>
    <row r="1019">
      <c r="A1019" s="2"/>
    </row>
    <row r="1020">
      <c r="A1020" s="2"/>
    </row>
    <row r="1021">
      <c r="A1021" s="2"/>
    </row>
    <row r="1022">
      <c r="A1022" s="2"/>
    </row>
    <row r="1023">
      <c r="A1023" s="2"/>
    </row>
    <row r="1024">
      <c r="A1024" s="2"/>
    </row>
    <row r="1025">
      <c r="A1025" s="2"/>
    </row>
    <row r="1026">
      <c r="A1026" s="2"/>
    </row>
    <row r="1027">
      <c r="A1027" s="2"/>
    </row>
    <row r="1028">
      <c r="A1028" s="2"/>
    </row>
    <row r="1029">
      <c r="A1029" s="2"/>
    </row>
    <row r="1030">
      <c r="A1030" s="2"/>
    </row>
    <row r="1031">
      <c r="A1031" s="2"/>
    </row>
    <row r="1032">
      <c r="A1032" s="2"/>
    </row>
    <row r="1033">
      <c r="A1033" s="2"/>
    </row>
    <row r="1034">
      <c r="A1034" s="2"/>
    </row>
    <row r="1035">
      <c r="A1035" s="2"/>
    </row>
    <row r="1036">
      <c r="A1036" s="2"/>
    </row>
    <row r="1037">
      <c r="A1037" s="2"/>
    </row>
    <row r="1038">
      <c r="A1038" s="2"/>
    </row>
    <row r="1039">
      <c r="A1039" s="2"/>
    </row>
    <row r="1040">
      <c r="A1040" s="2"/>
    </row>
    <row r="1041">
      <c r="A1041" s="2"/>
    </row>
    <row r="1042">
      <c r="A1042" s="2"/>
    </row>
    <row r="1043">
      <c r="A1043" s="2"/>
    </row>
    <row r="1044">
      <c r="A1044" s="2"/>
    </row>
    <row r="1045">
      <c r="A1045" s="2"/>
    </row>
    <row r="1046">
      <c r="A1046" s="2"/>
    </row>
    <row r="1047">
      <c r="A1047" s="2"/>
    </row>
    <row r="1048">
      <c r="A1048" s="2"/>
    </row>
    <row r="1049">
      <c r="A1049" s="2"/>
    </row>
    <row r="1050">
      <c r="A1050" s="2"/>
    </row>
    <row r="1051">
      <c r="A1051" s="2"/>
    </row>
    <row r="1052">
      <c r="A1052" s="2"/>
    </row>
    <row r="1053">
      <c r="A1053" s="2"/>
    </row>
    <row r="1054">
      <c r="A1054" s="2"/>
    </row>
    <row r="1055">
      <c r="A1055" s="2"/>
    </row>
    <row r="1056">
      <c r="A1056" s="2"/>
    </row>
    <row r="1057">
      <c r="A1057" s="2"/>
    </row>
    <row r="1058">
      <c r="A1058" s="2"/>
    </row>
    <row r="1059">
      <c r="A1059" s="2"/>
    </row>
    <row r="1060">
      <c r="A1060" s="2"/>
    </row>
    <row r="1061">
      <c r="A1061" s="2"/>
    </row>
    <row r="1062">
      <c r="A1062" s="2"/>
    </row>
    <row r="1063">
      <c r="A1063" s="2"/>
    </row>
    <row r="1064">
      <c r="A1064" s="2"/>
    </row>
    <row r="1065">
      <c r="A1065" s="2"/>
    </row>
    <row r="1066">
      <c r="A1066" s="2"/>
    </row>
    <row r="1067">
      <c r="A1067" s="2"/>
    </row>
    <row r="1068">
      <c r="A1068" s="2"/>
    </row>
    <row r="1069">
      <c r="A1069" s="2"/>
    </row>
    <row r="1070">
      <c r="A1070" s="2"/>
    </row>
    <row r="1071">
      <c r="A1071" s="2"/>
    </row>
    <row r="1072">
      <c r="A1072" s="2"/>
    </row>
    <row r="1073">
      <c r="A1073" s="2"/>
    </row>
    <row r="1074">
      <c r="A1074" s="2"/>
    </row>
    <row r="1075">
      <c r="A1075" s="2"/>
    </row>
    <row r="1076">
      <c r="A1076" s="2"/>
    </row>
    <row r="1077">
      <c r="A1077" s="2"/>
    </row>
    <row r="1078">
      <c r="A1078" s="2"/>
    </row>
    <row r="1079">
      <c r="A1079" s="2"/>
    </row>
    <row r="1080">
      <c r="A1080" s="2"/>
    </row>
    <row r="1081">
      <c r="A1081" s="2"/>
    </row>
    <row r="1082">
      <c r="A1082" s="2"/>
    </row>
    <row r="1083">
      <c r="A1083" s="2"/>
    </row>
    <row r="1084">
      <c r="A1084" s="2"/>
    </row>
    <row r="1085">
      <c r="A1085" s="2"/>
    </row>
    <row r="1086">
      <c r="A1086" s="2"/>
    </row>
    <row r="1087">
      <c r="A1087" s="2"/>
    </row>
    <row r="1088">
      <c r="A1088" s="2"/>
    </row>
    <row r="1089">
      <c r="A1089" s="2"/>
    </row>
    <row r="1090">
      <c r="A109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